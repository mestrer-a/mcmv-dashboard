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financiamento_por_fonte_a" sheetId="1" state="visible" r:id="rId1"/>
    <sheet name="Grafico_financiamento_por_fonte" sheetId="2" state="visible" r:id="rId2"/>
    <sheet name="Fo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Financiamento do MCMV por fonte e por ano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'Dados_financiamento_por_fonte_a'!B1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'Dados_financiamento_por_fonte_a'!$A$2:$A$19</f>
            </numRef>
          </cat>
          <val>
            <numRef>
              <f>'Dados_financiamento_por_fonte_a'!$B$2:$B$19</f>
            </numRef>
          </val>
        </ser>
        <ser>
          <idx val="1"/>
          <order val="1"/>
          <tx>
            <strRef>
              <f>'Dados_financiamento_por_fonte_a'!C1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'Dados_financiamento_por_fonte_a'!$A$2:$A$19</f>
            </numRef>
          </cat>
          <val>
            <numRef>
              <f>'Dados_financiamento_por_fonte_a'!$C$2:$C$19</f>
            </numRef>
          </val>
        </ser>
        <ser>
          <idx val="2"/>
          <order val="2"/>
          <tx>
            <strRef>
              <f>'Dados_financiamento_por_fonte_a'!D1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'Dados_financiamento_por_fonte_a'!$A$2:$A$19</f>
            </numRef>
          </cat>
          <val>
            <numRef>
              <f>'Dados_financiamento_por_fonte_a'!$D$2:$D$19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 bilhões (valores correntes)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ano</t>
        </is>
      </c>
      <c r="B1" s="1" t="inlineStr">
        <is>
          <t>FGTS (R$ bi)</t>
        </is>
      </c>
      <c r="C1" s="1" t="inlineStr">
        <is>
          <t>OGU (R$ bi)</t>
        </is>
      </c>
      <c r="D1" s="1" t="inlineStr">
        <is>
          <t>Fundo Social (R$ bi)</t>
        </is>
      </c>
    </row>
    <row r="2">
      <c r="A2" t="n">
        <v>2009</v>
      </c>
      <c r="B2" t="n">
        <v>13.11656619207</v>
      </c>
      <c r="C2" t="n">
        <v>6.311722287</v>
      </c>
      <c r="D2" t="n">
        <v/>
      </c>
    </row>
    <row r="3">
      <c r="A3" t="n">
        <v>2010</v>
      </c>
      <c r="B3" t="n">
        <v>22.07636318796</v>
      </c>
      <c r="C3" t="n">
        <v>12.87670049582</v>
      </c>
      <c r="D3" t="n">
        <v/>
      </c>
    </row>
    <row r="4">
      <c r="A4" t="n">
        <v>2011</v>
      </c>
      <c r="B4" t="n">
        <v>26.14084820524</v>
      </c>
      <c r="C4" t="n">
        <v>5.01517218996</v>
      </c>
      <c r="D4" t="n">
        <v/>
      </c>
    </row>
    <row r="5">
      <c r="A5" t="n">
        <v>2012</v>
      </c>
      <c r="B5" t="n">
        <v>29.34088497815</v>
      </c>
      <c r="C5" t="n">
        <v>20.76917952819</v>
      </c>
      <c r="D5" t="n">
        <v/>
      </c>
    </row>
    <row r="6">
      <c r="A6" t="n">
        <v>2013</v>
      </c>
      <c r="B6" t="n">
        <v>35.59070016929</v>
      </c>
      <c r="C6" t="n">
        <v>30.22244285627</v>
      </c>
      <c r="D6" t="n">
        <v/>
      </c>
    </row>
    <row r="7">
      <c r="A7" t="n">
        <v>2014</v>
      </c>
      <c r="B7" t="n">
        <v>38.35389221703998</v>
      </c>
      <c r="C7" t="n">
        <v>11.77076291512</v>
      </c>
      <c r="D7" t="n">
        <v/>
      </c>
    </row>
    <row r="8">
      <c r="A8" t="n">
        <v>2015</v>
      </c>
      <c r="B8" t="n">
        <v>38.83287930566</v>
      </c>
      <c r="C8" t="n">
        <v>1.54009904682</v>
      </c>
      <c r="D8" t="n">
        <v/>
      </c>
    </row>
    <row r="9">
      <c r="A9" t="n">
        <v>2016</v>
      </c>
      <c r="B9" t="n">
        <v>38.96490372643999</v>
      </c>
      <c r="C9" t="n">
        <v>2.28319039975</v>
      </c>
      <c r="D9" t="n">
        <v/>
      </c>
    </row>
    <row r="10">
      <c r="A10" t="n">
        <v>2017</v>
      </c>
      <c r="B10" t="n">
        <v>42.01806520044001</v>
      </c>
      <c r="C10" t="n">
        <v>1.95266702404</v>
      </c>
      <c r="D10" t="n">
        <v/>
      </c>
    </row>
    <row r="11">
      <c r="A11" t="n">
        <v>2018</v>
      </c>
      <c r="B11" t="n">
        <v>43.93919632236001</v>
      </c>
      <c r="C11" t="n">
        <v>7.52060079717</v>
      </c>
      <c r="D11" t="n">
        <v/>
      </c>
    </row>
    <row r="12">
      <c r="A12" t="n">
        <v>2019</v>
      </c>
      <c r="B12" t="n">
        <v>41.80977477928</v>
      </c>
      <c r="C12" t="n">
        <v>0.13984050543</v>
      </c>
      <c r="D12" t="n">
        <v/>
      </c>
    </row>
    <row r="13">
      <c r="A13" t="n">
        <v>2020</v>
      </c>
      <c r="B13" t="n">
        <v>42.92258380502</v>
      </c>
      <c r="C13" t="n">
        <v/>
      </c>
      <c r="D13" t="n">
        <v/>
      </c>
    </row>
    <row r="14">
      <c r="A14" t="n">
        <v>2021</v>
      </c>
      <c r="B14" t="n">
        <v>40.2916520823</v>
      </c>
      <c r="C14" t="n">
        <v/>
      </c>
      <c r="D14" t="n">
        <v/>
      </c>
    </row>
    <row r="15">
      <c r="A15" t="n">
        <v>2022</v>
      </c>
      <c r="B15" t="n">
        <v>46.19338821119999</v>
      </c>
      <c r="C15" t="n">
        <v/>
      </c>
      <c r="D15" t="n">
        <v/>
      </c>
    </row>
    <row r="16">
      <c r="A16" t="n">
        <v>2023</v>
      </c>
      <c r="B16" t="n">
        <v>64.61616742029001</v>
      </c>
      <c r="C16" t="n">
        <v/>
      </c>
      <c r="D16" t="n">
        <v/>
      </c>
    </row>
    <row r="17">
      <c r="A17" t="n">
        <v>2024</v>
      </c>
      <c r="B17" t="n">
        <v>94.03151011824998</v>
      </c>
      <c r="C17" t="n">
        <v>18.45410447948</v>
      </c>
      <c r="D17" t="n">
        <v/>
      </c>
    </row>
    <row r="18">
      <c r="A18" t="n">
        <v>2025</v>
      </c>
      <c r="B18" t="n">
        <v>104.48211099613</v>
      </c>
      <c r="C18" t="n">
        <v>18.59511648494</v>
      </c>
      <c r="D18" t="n">
        <v>8.820830031309999</v>
      </c>
    </row>
    <row r="19">
      <c r="A19" t="n">
        <v>2026</v>
      </c>
      <c r="B19" t="n">
        <v>55.98772602661</v>
      </c>
      <c r="C19" t="n">
        <v>2.67242853062</v>
      </c>
      <c r="D19" t="n">
        <v>17.88232586757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Gráfico</t>
        </is>
      </c>
      <c r="B1" s="1" t="inlineStr">
        <is>
          <t>Organização</t>
        </is>
      </c>
      <c r="C1" s="1" t="inlineStr">
        <is>
          <t>Base</t>
        </is>
      </c>
      <c r="D1" s="1" t="inlineStr">
        <is>
          <t>Nível</t>
        </is>
      </c>
      <c r="E1" s="1" t="inlineStr">
        <is>
          <t>URL</t>
        </is>
      </c>
      <c r="F1" s="1" t="inlineStr">
        <is>
          <t>Data de acesso</t>
        </is>
      </c>
      <c r="G1" s="1" t="inlineStr">
        <is>
          <t>Script</t>
        </is>
      </c>
      <c r="H1" s="1" t="inlineStr">
        <is>
          <t>Tabela</t>
        </is>
      </c>
    </row>
    <row r="2">
      <c r="A2" t="inlineStr">
        <is>
          <t>Financiamento do MCMV por fonte e por ano</t>
        </is>
      </c>
      <c r="B2" t="inlineStr">
        <is>
          <t>Ministério das Cidades — Secretaria Nacional de Habitação (SNH)</t>
        </is>
      </c>
      <c r="C2" t="inlineStr">
        <is>
          <t>MCMV Financiado com FGTS/FS — dados analíticos</t>
        </is>
      </c>
      <c r="D2" t="inlineStr">
        <is>
          <t>contrato individual (~7,85 milhões de linhas)</t>
        </is>
      </c>
      <c r="E2" t="inlineStr">
        <is>
          <t>https://www.cidades.gov.br/images/stories/ArquivosSNH/ArquivosZIP/mcmv_financ_analitico_20260724.zip</t>
        </is>
      </c>
      <c r="F2" t="inlineStr">
        <is>
          <t>2026-09-10</t>
        </is>
      </c>
      <c r="G2" t="inlineStr">
        <is>
          <t>scripts/process_financiamento_fonte_ano.py</t>
        </is>
      </c>
      <c r="H2" t="inlineStr">
        <is>
          <t>data/processed/financiamento_por_fonte_ano.csv</t>
        </is>
      </c>
    </row>
    <row r="3">
      <c r="A3" t="inlineStr">
        <is>
          <t>Financiamento do MCMV por fonte e por ano</t>
        </is>
      </c>
      <c r="B3" t="inlineStr">
        <is>
          <t>Ministério das Cidades — Secretaria Nacional de Habitação (SNH)</t>
        </is>
      </c>
      <c r="C3" t="inlineStr">
        <is>
          <t>MCMV Subsidiado — Empreendimentos</t>
        </is>
      </c>
      <c r="D3" t="inlineStr">
        <is>
          <t>empreendimento/projeto (~58 mil)</t>
        </is>
      </c>
      <c r="E3" t="inlineStr">
        <is>
          <t>https://www.gov.br/cidades/pt-br/acesso-a-informacao/acoes-e-programas/habitacao/programa-minha-casa-minha-vida/arquivos/mcmv_subsidiado_202606302.zip</t>
        </is>
      </c>
      <c r="F3" t="inlineStr">
        <is>
          <t>2026-09-10</t>
        </is>
      </c>
      <c r="G3" t="inlineStr">
        <is>
          <t>scripts/process_financiamento_fonte_ano.py</t>
        </is>
      </c>
      <c r="H3" t="inlineStr">
        <is>
          <t>data/processed/financiamento_por_fonte_ano.csv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2026-09-10T19:58:22Z</dcterms:created>
  <dcterms:modified xsi:type="dcterms:W3CDTF">2026-09-10T19:58:22Z</dcterms:modified>
</cp:coreProperties>
</file>